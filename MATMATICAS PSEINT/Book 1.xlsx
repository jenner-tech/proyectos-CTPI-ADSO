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AC016E1C-285C-4B24-B940-DD978CB1FCE8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CONVERSIONES DE MASA" sheetId="1" r:id="rId1"/>
    <sheet name="CONVERSIONES DE LONGITUD" sheetId="2" r:id="rId2"/>
    <sheet name="CONVERSIONES DE TEMPERATURA" sheetId="3" r:id="rId3"/>
    <sheet name="CONVERSIONES DE BYTES" sheetId="4" r:id="rId4"/>
    <sheet name="CONVERSIONES DE TIEMP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5" i="5"/>
  <c r="E6" i="5"/>
  <c r="E7" i="5"/>
  <c r="E8" i="5"/>
  <c r="D4" i="5"/>
  <c r="D5" i="5"/>
  <c r="D6" i="5"/>
  <c r="D7" i="5"/>
  <c r="D8" i="5"/>
  <c r="C4" i="5"/>
  <c r="C5" i="5"/>
  <c r="C6" i="5"/>
  <c r="C7" i="5"/>
  <c r="C8" i="5"/>
  <c r="E4" i="4"/>
  <c r="E5" i="4"/>
  <c r="E6" i="4"/>
  <c r="E7" i="4"/>
  <c r="E8" i="4"/>
  <c r="D4" i="4"/>
  <c r="D5" i="4"/>
  <c r="D6" i="4"/>
  <c r="D7" i="4"/>
  <c r="D8" i="4"/>
  <c r="C4" i="4"/>
  <c r="C5" i="4"/>
  <c r="C6" i="4"/>
  <c r="C7" i="4"/>
  <c r="C8" i="4"/>
  <c r="D4" i="3"/>
  <c r="D5" i="3"/>
  <c r="D6" i="3"/>
  <c r="D7" i="3"/>
  <c r="D8" i="3"/>
  <c r="E4" i="3"/>
  <c r="E5" i="3"/>
  <c r="E6" i="3"/>
  <c r="E7" i="3"/>
  <c r="E8" i="3"/>
  <c r="C4" i="3"/>
  <c r="C5" i="3"/>
  <c r="C6" i="3"/>
  <c r="C7" i="3"/>
  <c r="C8" i="3"/>
  <c r="E4" i="2"/>
  <c r="E5" i="2"/>
  <c r="E6" i="2"/>
  <c r="E7" i="2"/>
  <c r="E8" i="2"/>
  <c r="D4" i="2"/>
  <c r="D5" i="2"/>
  <c r="D6" i="2"/>
  <c r="D7" i="2"/>
  <c r="D8" i="2"/>
  <c r="C4" i="2"/>
  <c r="C5" i="2"/>
  <c r="C6" i="2"/>
  <c r="C7" i="2"/>
  <c r="C8" i="2"/>
  <c r="E4" i="1"/>
  <c r="E5" i="1"/>
  <c r="E6" i="1"/>
  <c r="E7" i="1"/>
  <c r="E8" i="1"/>
  <c r="D4" i="1"/>
  <c r="D5" i="1"/>
  <c r="D6" i="1"/>
  <c r="D7" i="1"/>
  <c r="D8" i="1"/>
  <c r="C4" i="1"/>
  <c r="C5" i="1"/>
  <c r="C6" i="1"/>
  <c r="C7" i="1"/>
  <c r="C8" i="1"/>
  <c r="E3" i="5"/>
  <c r="D3" i="5"/>
  <c r="C3" i="5"/>
  <c r="E3" i="4"/>
  <c r="D3" i="4"/>
  <c r="C3" i="4"/>
  <c r="D3" i="3"/>
  <c r="C3" i="3"/>
  <c r="E3" i="3" s="1"/>
  <c r="E3" i="2"/>
  <c r="D3" i="2"/>
  <c r="C3" i="2"/>
  <c r="D3" i="1"/>
  <c r="C3" i="1"/>
  <c r="E3" i="1" s="1"/>
</calcChain>
</file>

<file path=xl/sharedStrings.xml><?xml version="1.0" encoding="utf-8"?>
<sst xmlns="http://schemas.openxmlformats.org/spreadsheetml/2006/main" count="25" uniqueCount="25">
  <si>
    <t>CONVERSION DE MASAS</t>
  </si>
  <si>
    <t>Gramos</t>
  </si>
  <si>
    <t>Gramos a kilogramos</t>
  </si>
  <si>
    <t>Gramos a Libras</t>
  </si>
  <si>
    <t>Kilogramos a Libras</t>
  </si>
  <si>
    <t>CONVERSIONES DE LONGITUD</t>
  </si>
  <si>
    <t>Metros</t>
  </si>
  <si>
    <t>Metros a Kilometros</t>
  </si>
  <si>
    <t>Metros a Centimetros</t>
  </si>
  <si>
    <t>Kilometros a Metros</t>
  </si>
  <si>
    <t>CONVERSIONES DE TEMPERATURA</t>
  </si>
  <si>
    <t>Celsius</t>
  </si>
  <si>
    <t xml:space="preserve">Celsius a Fahrenheit </t>
  </si>
  <si>
    <t>Celsius a Kelvin</t>
  </si>
  <si>
    <t>Fahrenheit a Celsius</t>
  </si>
  <si>
    <t>CONVERSIONES DE BYTES</t>
  </si>
  <si>
    <t>Bytes</t>
  </si>
  <si>
    <t>Bytes a Megabytes</t>
  </si>
  <si>
    <t>Megabytes a Gigabytes</t>
  </si>
  <si>
    <t>Gigabytes a Megabytes</t>
  </si>
  <si>
    <t>CONVERSIONES DE TIEMPO</t>
  </si>
  <si>
    <t>Segundos</t>
  </si>
  <si>
    <t>Segundos a Minutos</t>
  </si>
  <si>
    <t>Segundos a Horas</t>
  </si>
  <si>
    <t>Horas a 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</si>
</sst>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/>
    <xf numFmtId="0" fontId="0" fillId="0" borderId="0" xfId="0" applyAlignment="1"/>
    <xf numFmtId="0" fontId="1" fillId="0" borderId="3" xfId="0" applyFont="1" applyBorder="1" applyAlignment="1">
      <alignment horizontal="center" wrapText="1"/>
    </xf>
    <xf numFmtId="17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E8" sqref="E8"/>
    </sheetView>
  </sheetViews>
  <sheetFormatPr defaultRowHeight="15"/>
  <cols>
    <col min="1" max="1" width="13.5703125" customWidth="1"/>
    <col min="2" max="2" width="13.7109375" customWidth="1"/>
    <col min="3" max="3" width="14.42578125" customWidth="1"/>
    <col min="4" max="4" width="16.140625" customWidth="1"/>
    <col min="5" max="5" width="17.5703125" bestFit="1" customWidth="1"/>
  </cols>
  <sheetData>
    <row r="1" spans="1:5" ht="24.75" customHeight="1">
      <c r="A1" s="6"/>
      <c r="B1" s="7" t="s">
        <v>0</v>
      </c>
      <c r="C1" s="7"/>
      <c r="D1" s="7"/>
      <c r="E1" s="7"/>
    </row>
    <row r="2" spans="1:5" ht="29.25">
      <c r="B2" s="3" t="s">
        <v>1</v>
      </c>
      <c r="C2" s="4" t="s">
        <v>2</v>
      </c>
      <c r="D2" s="3" t="s">
        <v>3</v>
      </c>
      <c r="E2" s="5" t="s">
        <v>4</v>
      </c>
    </row>
    <row r="3" spans="1:5">
      <c r="B3" s="2">
        <v>1000</v>
      </c>
      <c r="C3" s="2">
        <f>B3/1000</f>
        <v>1</v>
      </c>
      <c r="D3" s="2">
        <f>B3*0.00220462</f>
        <v>2.2046199999999998</v>
      </c>
      <c r="E3" s="2">
        <f>C3*2.20462</f>
        <v>2.2046199999999998</v>
      </c>
    </row>
    <row r="4" spans="1:5">
      <c r="B4" s="2">
        <v>2000</v>
      </c>
      <c r="C4" s="2">
        <f t="shared" ref="C4:C8" si="0">B4/1000</f>
        <v>2</v>
      </c>
      <c r="D4" s="2">
        <f t="shared" ref="D4:D8" si="1">B4*0.00220462</f>
        <v>4.4092399999999996</v>
      </c>
      <c r="E4" s="2">
        <f t="shared" ref="E4:E8" si="2">C4*2.20462</f>
        <v>4.4092399999999996</v>
      </c>
    </row>
    <row r="5" spans="1:5">
      <c r="B5" s="2">
        <v>550</v>
      </c>
      <c r="C5" s="2">
        <f t="shared" si="0"/>
        <v>0.55000000000000004</v>
      </c>
      <c r="D5" s="2">
        <f t="shared" si="1"/>
        <v>1.2125410000000001</v>
      </c>
      <c r="E5" s="2">
        <f t="shared" si="2"/>
        <v>1.2125410000000001</v>
      </c>
    </row>
    <row r="6" spans="1:5">
      <c r="B6" s="2">
        <v>9250</v>
      </c>
      <c r="C6" s="2">
        <f t="shared" si="0"/>
        <v>9.25</v>
      </c>
      <c r="D6" s="2">
        <f t="shared" si="1"/>
        <v>20.392735000000002</v>
      </c>
      <c r="E6" s="2">
        <f t="shared" si="2"/>
        <v>20.392734999999998</v>
      </c>
    </row>
    <row r="7" spans="1:5">
      <c r="B7" s="2">
        <v>100</v>
      </c>
      <c r="C7" s="2">
        <f t="shared" si="0"/>
        <v>0.1</v>
      </c>
      <c r="D7" s="2">
        <f t="shared" si="1"/>
        <v>0.22046199999999999</v>
      </c>
      <c r="E7" s="2">
        <f t="shared" si="2"/>
        <v>0.22046199999999999</v>
      </c>
    </row>
    <row r="8" spans="1:5">
      <c r="B8" s="2">
        <v>10000</v>
      </c>
      <c r="C8" s="2">
        <f t="shared" si="0"/>
        <v>10</v>
      </c>
      <c r="D8" s="2">
        <f t="shared" si="1"/>
        <v>22.046199999999999</v>
      </c>
      <c r="E8" s="2">
        <f t="shared" si="2"/>
        <v>22.046199999999999</v>
      </c>
    </row>
    <row r="9" spans="1:5">
      <c r="B9" s="1"/>
      <c r="C9" s="1"/>
      <c r="D9" s="1"/>
    </row>
    <row r="10" spans="1:5">
      <c r="B10" s="1"/>
      <c r="C10" s="1"/>
      <c r="D10" s="1"/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00A2-324A-4CEB-A170-B4C74E13FE31}">
  <dimension ref="B1:E8"/>
  <sheetViews>
    <sheetView workbookViewId="0">
      <selection activeCell="C5" sqref="C5"/>
    </sheetView>
  </sheetViews>
  <sheetFormatPr defaultRowHeight="15"/>
  <cols>
    <col min="2" max="2" width="12.85546875" customWidth="1"/>
    <col min="3" max="3" width="13.28515625" customWidth="1"/>
    <col min="4" max="4" width="17.140625" customWidth="1"/>
    <col min="5" max="5" width="17.28515625" customWidth="1"/>
  </cols>
  <sheetData>
    <row r="1" spans="2:5" ht="27" customHeight="1">
      <c r="B1" s="7" t="s">
        <v>5</v>
      </c>
      <c r="C1" s="7"/>
      <c r="D1" s="7"/>
      <c r="E1" s="7"/>
    </row>
    <row r="2" spans="2:5" ht="29.25">
      <c r="B2" s="3" t="s">
        <v>6</v>
      </c>
      <c r="C2" s="4" t="s">
        <v>7</v>
      </c>
      <c r="D2" s="4" t="s">
        <v>8</v>
      </c>
      <c r="E2" s="4" t="s">
        <v>9</v>
      </c>
    </row>
    <row r="3" spans="2:5">
      <c r="B3" s="2">
        <v>100</v>
      </c>
      <c r="C3" s="2">
        <f>B3/1000</f>
        <v>0.1</v>
      </c>
      <c r="D3" s="2">
        <f>B3*100</f>
        <v>10000</v>
      </c>
      <c r="E3" s="2">
        <f>C3*1000</f>
        <v>100</v>
      </c>
    </row>
    <row r="4" spans="2:5">
      <c r="B4" s="2">
        <v>500</v>
      </c>
      <c r="C4" s="2">
        <f t="shared" ref="C4:C8" si="0">B4/1000</f>
        <v>0.5</v>
      </c>
      <c r="D4" s="2">
        <f t="shared" ref="D4:D8" si="1">B4*100</f>
        <v>50000</v>
      </c>
      <c r="E4" s="2">
        <f t="shared" ref="E4:E8" si="2">C4*1000</f>
        <v>500</v>
      </c>
    </row>
    <row r="5" spans="2:5">
      <c r="B5" s="2">
        <v>2500</v>
      </c>
      <c r="C5" s="2">
        <f t="shared" si="0"/>
        <v>2.5</v>
      </c>
      <c r="D5" s="2">
        <f t="shared" si="1"/>
        <v>250000</v>
      </c>
      <c r="E5" s="2">
        <f t="shared" si="2"/>
        <v>2500</v>
      </c>
    </row>
    <row r="6" spans="2:5">
      <c r="B6" s="2">
        <v>1190</v>
      </c>
      <c r="C6" s="2">
        <f t="shared" si="0"/>
        <v>1.19</v>
      </c>
      <c r="D6" s="2">
        <f t="shared" si="1"/>
        <v>119000</v>
      </c>
      <c r="E6" s="2">
        <f t="shared" si="2"/>
        <v>1190</v>
      </c>
    </row>
    <row r="7" spans="2:5">
      <c r="B7" s="2">
        <v>948</v>
      </c>
      <c r="C7" s="2">
        <f t="shared" si="0"/>
        <v>0.94799999999999995</v>
      </c>
      <c r="D7" s="2">
        <f t="shared" si="1"/>
        <v>94800</v>
      </c>
      <c r="E7" s="2">
        <f t="shared" si="2"/>
        <v>948</v>
      </c>
    </row>
    <row r="8" spans="2:5">
      <c r="B8" s="2">
        <v>456</v>
      </c>
      <c r="C8" s="2">
        <f t="shared" si="0"/>
        <v>0.45600000000000002</v>
      </c>
      <c r="D8" s="2">
        <f t="shared" si="1"/>
        <v>45600</v>
      </c>
      <c r="E8" s="2">
        <f t="shared" si="2"/>
        <v>456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6D9A-AAD7-4EDD-8442-BCA5661E7C85}">
  <dimension ref="B1:E8"/>
  <sheetViews>
    <sheetView workbookViewId="0">
      <selection activeCell="D3" sqref="D3"/>
    </sheetView>
  </sheetViews>
  <sheetFormatPr defaultRowHeight="15"/>
  <cols>
    <col min="2" max="2" width="13.5703125" customWidth="1"/>
    <col min="3" max="3" width="13.7109375" customWidth="1"/>
    <col min="4" max="4" width="15.42578125" customWidth="1"/>
    <col min="5" max="5" width="16.42578125" customWidth="1"/>
  </cols>
  <sheetData>
    <row r="1" spans="2:5" ht="34.5" customHeight="1">
      <c r="B1" s="7" t="s">
        <v>10</v>
      </c>
      <c r="C1" s="7"/>
      <c r="D1" s="7"/>
      <c r="E1" s="7"/>
    </row>
    <row r="2" spans="2:5" ht="29.25">
      <c r="B2" s="3" t="s">
        <v>11</v>
      </c>
      <c r="C2" s="4" t="s">
        <v>12</v>
      </c>
      <c r="D2" s="4" t="s">
        <v>13</v>
      </c>
      <c r="E2" s="4" t="s">
        <v>14</v>
      </c>
    </row>
    <row r="3" spans="2:5">
      <c r="B3" s="2">
        <v>10</v>
      </c>
      <c r="C3" s="2">
        <f>(B3*9/5)+32</f>
        <v>50</v>
      </c>
      <c r="D3" s="2">
        <f>B3+273.15</f>
        <v>283.14999999999998</v>
      </c>
      <c r="E3" s="2">
        <f>(C3-32)*5/9</f>
        <v>10</v>
      </c>
    </row>
    <row r="4" spans="2:5">
      <c r="B4" s="2">
        <v>245</v>
      </c>
      <c r="C4" s="2">
        <f t="shared" ref="C4:C8" si="0">(B4*9/5)+32</f>
        <v>473</v>
      </c>
      <c r="D4" s="2">
        <f t="shared" ref="D4:D8" si="1">B4+273.15</f>
        <v>518.15</v>
      </c>
      <c r="E4" s="2">
        <f t="shared" ref="E4:E8" si="2">(C4-32)*5/9</f>
        <v>245</v>
      </c>
    </row>
    <row r="5" spans="2:5">
      <c r="B5" s="2">
        <v>300</v>
      </c>
      <c r="C5" s="2">
        <f t="shared" si="0"/>
        <v>572</v>
      </c>
      <c r="D5" s="2">
        <f t="shared" si="1"/>
        <v>573.15</v>
      </c>
      <c r="E5" s="2">
        <f t="shared" si="2"/>
        <v>300</v>
      </c>
    </row>
    <row r="6" spans="2:5">
      <c r="B6" s="2">
        <v>45</v>
      </c>
      <c r="C6" s="2">
        <f t="shared" si="0"/>
        <v>113</v>
      </c>
      <c r="D6" s="2">
        <f t="shared" si="1"/>
        <v>318.14999999999998</v>
      </c>
      <c r="E6" s="2">
        <f t="shared" si="2"/>
        <v>45</v>
      </c>
    </row>
    <row r="7" spans="2:5">
      <c r="B7" s="2">
        <v>79</v>
      </c>
      <c r="C7" s="2">
        <f t="shared" si="0"/>
        <v>174.2</v>
      </c>
      <c r="D7" s="2">
        <f t="shared" si="1"/>
        <v>352.15</v>
      </c>
      <c r="E7" s="2">
        <f t="shared" si="2"/>
        <v>79</v>
      </c>
    </row>
    <row r="8" spans="2:5">
      <c r="B8" s="2">
        <v>97</v>
      </c>
      <c r="C8" s="2">
        <f t="shared" si="0"/>
        <v>206.6</v>
      </c>
      <c r="D8" s="2">
        <f t="shared" si="1"/>
        <v>370.15</v>
      </c>
      <c r="E8" s="2">
        <f t="shared" si="2"/>
        <v>97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5B6F-0365-4448-B0BE-6FC9A4A8B3FF}">
  <dimension ref="B1:E8"/>
  <sheetViews>
    <sheetView workbookViewId="0">
      <selection activeCell="E5" sqref="E5"/>
    </sheetView>
  </sheetViews>
  <sheetFormatPr defaultRowHeight="15"/>
  <cols>
    <col min="2" max="2" width="17.7109375" customWidth="1"/>
    <col min="3" max="3" width="18.5703125" customWidth="1"/>
    <col min="4" max="4" width="16.5703125" customWidth="1"/>
    <col min="5" max="5" width="14.85546875" customWidth="1"/>
  </cols>
  <sheetData>
    <row r="1" spans="2:5">
      <c r="B1" s="7" t="s">
        <v>15</v>
      </c>
      <c r="C1" s="7"/>
      <c r="D1" s="7"/>
      <c r="E1" s="7"/>
    </row>
    <row r="2" spans="2:5" ht="29.25">
      <c r="B2" s="3" t="s">
        <v>16</v>
      </c>
      <c r="C2" s="4" t="s">
        <v>17</v>
      </c>
      <c r="D2" s="4" t="s">
        <v>18</v>
      </c>
      <c r="E2" s="4" t="s">
        <v>19</v>
      </c>
    </row>
    <row r="3" spans="2:5">
      <c r="B3" s="2">
        <v>10000</v>
      </c>
      <c r="C3" s="2">
        <f>B3/(1024*1024)</f>
        <v>9.5367431640625E-3</v>
      </c>
      <c r="D3" s="2">
        <f>C3/1024</f>
        <v>9.3132257461547852E-6</v>
      </c>
      <c r="E3" s="2">
        <f>D3*1024</f>
        <v>9.5367431640625E-3</v>
      </c>
    </row>
    <row r="4" spans="2:5">
      <c r="B4" s="2">
        <v>1048576</v>
      </c>
      <c r="C4" s="2">
        <f t="shared" ref="C4:C8" si="0">B4/(1024*1024)</f>
        <v>1</v>
      </c>
      <c r="D4" s="2">
        <f t="shared" ref="D4:D8" si="1">C4/1024</f>
        <v>9.765625E-4</v>
      </c>
      <c r="E4" s="2">
        <f t="shared" ref="E4:E8" si="2">D4*1024</f>
        <v>1</v>
      </c>
    </row>
    <row r="5" spans="2:5">
      <c r="B5" s="2">
        <v>1073741824</v>
      </c>
      <c r="C5" s="2">
        <f t="shared" si="0"/>
        <v>1024</v>
      </c>
      <c r="D5" s="2">
        <f t="shared" si="1"/>
        <v>1</v>
      </c>
      <c r="E5" s="2">
        <f t="shared" si="2"/>
        <v>1024</v>
      </c>
    </row>
    <row r="6" spans="2:5">
      <c r="B6" s="2">
        <v>1073794754</v>
      </c>
      <c r="C6" s="2">
        <f t="shared" si="0"/>
        <v>1024.0504779815674</v>
      </c>
      <c r="D6" s="2">
        <f t="shared" si="1"/>
        <v>1.0000492949038744</v>
      </c>
      <c r="E6" s="2">
        <f t="shared" si="2"/>
        <v>1024.0504779815674</v>
      </c>
    </row>
    <row r="7" spans="2:5">
      <c r="B7" s="2">
        <v>2355096097</v>
      </c>
      <c r="C7" s="2">
        <f t="shared" si="0"/>
        <v>2245.9946603775024</v>
      </c>
      <c r="D7" s="2">
        <f t="shared" si="1"/>
        <v>2.1933541605249047</v>
      </c>
      <c r="E7" s="2">
        <f t="shared" si="2"/>
        <v>2245.9946603775024</v>
      </c>
    </row>
    <row r="8" spans="2:5">
      <c r="B8" s="2">
        <v>1457875784</v>
      </c>
      <c r="C8" s="2">
        <f t="shared" si="0"/>
        <v>1390.3386917114258</v>
      </c>
      <c r="D8" s="2">
        <f t="shared" si="1"/>
        <v>1.3577526286244392</v>
      </c>
      <c r="E8" s="2">
        <f t="shared" si="2"/>
        <v>1390.3386917114258</v>
      </c>
    </row>
  </sheetData>
  <mergeCells count="1"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440E-98D3-4FBF-8718-BF32BBA96F10}">
  <dimension ref="B1:E8"/>
  <sheetViews>
    <sheetView tabSelected="1" workbookViewId="0">
      <selection activeCell="E3" sqref="E3"/>
    </sheetView>
  </sheetViews>
  <sheetFormatPr defaultRowHeight="15"/>
  <cols>
    <col min="2" max="2" width="13.85546875" customWidth="1"/>
    <col min="3" max="3" width="13.5703125" customWidth="1"/>
    <col min="4" max="4" width="13.85546875" customWidth="1"/>
    <col min="5" max="5" width="11.5703125" customWidth="1"/>
  </cols>
  <sheetData>
    <row r="1" spans="2:5" ht="25.5" customHeight="1">
      <c r="B1" s="7" t="s">
        <v>20</v>
      </c>
      <c r="C1" s="7"/>
      <c r="D1" s="7"/>
      <c r="E1" s="7"/>
    </row>
    <row r="2" spans="2:5" ht="29.25">
      <c r="B2" s="3" t="s">
        <v>21</v>
      </c>
      <c r="C2" s="4" t="s">
        <v>22</v>
      </c>
      <c r="D2" s="4" t="s">
        <v>23</v>
      </c>
      <c r="E2" s="4" t="s">
        <v>24</v>
      </c>
    </row>
    <row r="3" spans="2:5">
      <c r="B3" s="2">
        <v>35</v>
      </c>
      <c r="C3" s="8">
        <f>B3/60</f>
        <v>0.58333333333333337</v>
      </c>
      <c r="D3" s="2">
        <f>B3/3600</f>
        <v>9.7222222222222224E-3</v>
      </c>
      <c r="E3" s="2">
        <f>D3*60</f>
        <v>0.58333333333333337</v>
      </c>
    </row>
    <row r="4" spans="2:5">
      <c r="B4" s="2">
        <v>53</v>
      </c>
      <c r="C4" s="8">
        <f t="shared" ref="C4:C8" si="0">B4/60</f>
        <v>0.8833333333333333</v>
      </c>
      <c r="D4" s="2">
        <f t="shared" ref="D4:D8" si="1">B4/3600</f>
        <v>1.4722222222222222E-2</v>
      </c>
      <c r="E4" s="2">
        <f t="shared" ref="E4:E8" si="2">D4*60</f>
        <v>0.8833333333333333</v>
      </c>
    </row>
    <row r="5" spans="2:5">
      <c r="B5" s="2">
        <v>60</v>
      </c>
      <c r="C5" s="8">
        <f t="shared" si="0"/>
        <v>1</v>
      </c>
      <c r="D5" s="2">
        <f t="shared" si="1"/>
        <v>1.6666666666666666E-2</v>
      </c>
      <c r="E5" s="2">
        <f t="shared" si="2"/>
        <v>1</v>
      </c>
    </row>
    <row r="6" spans="2:5">
      <c r="B6" s="2">
        <v>3600</v>
      </c>
      <c r="C6" s="8">
        <f t="shared" si="0"/>
        <v>60</v>
      </c>
      <c r="D6" s="2">
        <f t="shared" si="1"/>
        <v>1</v>
      </c>
      <c r="E6" s="2">
        <f t="shared" si="2"/>
        <v>60</v>
      </c>
    </row>
    <row r="7" spans="2:5">
      <c r="B7" s="2">
        <v>7200</v>
      </c>
      <c r="C7" s="8">
        <f t="shared" si="0"/>
        <v>120</v>
      </c>
      <c r="D7" s="2">
        <f t="shared" si="1"/>
        <v>2</v>
      </c>
      <c r="E7" s="2">
        <f t="shared" si="2"/>
        <v>120</v>
      </c>
    </row>
    <row r="8" spans="2:5">
      <c r="B8" s="2">
        <v>10800</v>
      </c>
      <c r="C8" s="8">
        <f t="shared" si="0"/>
        <v>180</v>
      </c>
      <c r="D8" s="2">
        <f t="shared" si="1"/>
        <v>3</v>
      </c>
      <c r="E8" s="2">
        <f t="shared" si="2"/>
        <v>180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2025-12-08T14:15:49Z</dcterms:created>
  <dcterms:modified xsi:type="dcterms:W3CDTF">2025-12-08T15:37:14Z</dcterms:modified>
  <cp:category/>
  <cp:contentStatus/>
</cp:coreProperties>
</file>